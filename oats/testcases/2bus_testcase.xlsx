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1. Codebase_001/phd_codebase/"/>
    </mc:Choice>
  </mc:AlternateContent>
  <xr:revisionPtr revIDLastSave="195" documentId="8_{F958353F-7A20-4BA7-AB6A-AC196D485F90}" xr6:coauthVersionLast="47" xr6:coauthVersionMax="47" xr10:uidLastSave="{22BBEE55-820B-4010-ACA7-A8B93AB0EB50}"/>
  <bookViews>
    <workbookView xWindow="-108" yWindow="-108" windowWidth="23256" windowHeight="13896" tabRatio="809" firstSheet="1" activeTab="8" xr2:uid="{00000000-000D-0000-FFFF-FFFF00000000}"/>
  </bookViews>
  <sheets>
    <sheet name="bus" sheetId="1" r:id="rId1"/>
    <sheet name="demand" sheetId="2" r:id="rId2"/>
    <sheet name="ts_PD" sheetId="11" r:id="rId3"/>
    <sheet name="ts_VOLL" sheetId="12" r:id="rId4"/>
    <sheet name="branch" sheetId="3" r:id="rId5"/>
    <sheet name="ts_Lmax" sheetId="13" r:id="rId6"/>
    <sheet name="transformer" sheetId="4" r:id="rId7"/>
    <sheet name="ts_TLmax" sheetId="14" r:id="rId8"/>
    <sheet name="generator" sheetId="8" r:id="rId9"/>
    <sheet name="ts_PGMINGEN" sheetId="18" r:id="rId10"/>
    <sheet name="ts_PGLB" sheetId="15" r:id="rId11"/>
    <sheet name="ts_PGUB" sheetId="16" r:id="rId12"/>
    <sheet name="ts_bid" sheetId="17" r:id="rId13"/>
    <sheet name="storage" sheetId="19" r:id="rId14"/>
    <sheet name="baseMVA" sheetId="9" r:id="rId15"/>
  </sheets>
  <definedNames>
    <definedName name="_xlnm._FilterDatabase" localSheetId="4" hidden="1">branch!$A$1:$I$3</definedName>
    <definedName name="_xlnm._FilterDatabase" localSheetId="8" hidden="1">generator!$A$1:$T$3</definedName>
    <definedName name="solver_adj" localSheetId="2" hidden="1">ts_PD!$F$10:$G$10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ts_PD!$E$13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ts_PD!$E$12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J3" i="8" l="1"/>
  <c r="P3" i="19"/>
  <c r="P2" i="19"/>
  <c r="Q3" i="19"/>
  <c r="Q2" i="19"/>
  <c r="D4" i="2"/>
  <c r="D3" i="2"/>
  <c r="N3" i="8"/>
  <c r="N2" i="8"/>
  <c r="M3" i="8"/>
  <c r="M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tc={5000F297-809F-41F6-B3AB-F349592735FE}</author>
    <author>tc={EFBC4DF7-CBED-460B-A734-963688F25EF4}</author>
    <author>tc={C97F39E2-88F3-4216-9FC4-4FBD6A584927}</author>
  </authors>
  <commentList>
    <comment ref="A2" authorId="0" shapeId="0" xr:uid="{5000F297-809F-41F6-B3AB-F349592735FE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 =Demand; Test SNSP</t>
      </text>
    </comment>
    <comment ref="A3" authorId="1" shapeId="0" xr:uid="{EFBC4DF7-CBED-460B-A734-963688F25E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Wind = 0.75*Demand
</t>
      </text>
    </comment>
    <comment ref="A4" authorId="2" shapeId="0" xr:uid="{C97F39E2-88F3-4216-9FC4-4FBD6A584927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 = 0.5*Demand</t>
      </text>
    </comment>
  </commentList>
</comments>
</file>

<file path=xl/sharedStrings.xml><?xml version="1.0" encoding="utf-8"?>
<sst xmlns="http://schemas.openxmlformats.org/spreadsheetml/2006/main" count="195" uniqueCount="68">
  <si>
    <t>name</t>
  </si>
  <si>
    <t>baseKV</t>
  </si>
  <si>
    <t>type</t>
  </si>
  <si>
    <t>zone</t>
  </si>
  <si>
    <t>1</t>
  </si>
  <si>
    <t>2</t>
  </si>
  <si>
    <t>busname</t>
  </si>
  <si>
    <t>real</t>
  </si>
  <si>
    <t>stat</t>
  </si>
  <si>
    <t>VOLL</t>
  </si>
  <si>
    <t>D1</t>
  </si>
  <si>
    <t>D2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</si>
  <si>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</si>
  <si>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</si>
  <si>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</si>
  <si>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</si>
  <si>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</si>
  <si>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</si>
  <si>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</si>
  <si>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</si>
  <si>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</si>
  <si>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</si>
  <si>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</si>
  <si>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</si>
  <si>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</si>
  <si>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</si>
  <si>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</si>
  <si>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</si>
  <si>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</si>
  <si>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200</t>
  </si>
  <si>
    <t>Yes</t>
  </si>
  <si>
    <t>timestep</t>
  </si>
  <si>
    <t>Individual</t>
  </si>
  <si>
    <t>D3</t>
  </si>
  <si>
    <t>L2</t>
  </si>
  <si>
    <t>T1</t>
  </si>
  <si>
    <t>T2</t>
  </si>
  <si>
    <t>L1</t>
  </si>
  <si>
    <t>0.0139</t>
  </si>
  <si>
    <t>G1</t>
  </si>
  <si>
    <t>Coal</t>
  </si>
  <si>
    <t>t-1</t>
  </si>
  <si>
    <t>t-2</t>
  </si>
  <si>
    <t>t-3</t>
  </si>
  <si>
    <t>t-4</t>
  </si>
  <si>
    <t>t-5</t>
  </si>
  <si>
    <t>t-6</t>
  </si>
  <si>
    <t>PGMINGEN</t>
  </si>
  <si>
    <t>MUON_group</t>
  </si>
  <si>
    <t>NI</t>
  </si>
  <si>
    <t>ROI</t>
  </si>
  <si>
    <t>S_NBMIN_DUB_L2, S_REP_ROI</t>
  </si>
  <si>
    <t>S_NBMIN_CPS, S_MWMAX_NI_GT</t>
  </si>
  <si>
    <t>lifo_assignments</t>
  </si>
  <si>
    <t>G2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</si>
  <si>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</si>
  <si>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</si>
  <si>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</si>
  <si>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</si>
  <si>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</si>
  <si>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</si>
  <si>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</si>
  <si>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</si>
  <si>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</si>
  <si>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</si>
  <si>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SLB</t>
  </si>
  <si>
    <t>SUB</t>
  </si>
  <si>
    <t>Srated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</si>
</sst>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/>
    <xf numFmtId="2" fontId="3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  <xf numFmtId="1" fontId="2" fillId="0" borderId="0" xfId="0" applyNumberFormat="1" applyFont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1" fontId="0" fillId="0" borderId="1" xfId="0" applyNumberForma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hard Nayer" id="{A3671517-355B-4537-A00D-5020116DFFF8}" userId="S::richard.nayer@strath.ac.uk::770fed74-69b6-4284-9339-98a70c2a074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09-12T12:46:19.86" personId="{A3671517-355B-4537-A00D-5020116DFFF8}" id="{5000F297-809F-41F6-B3AB-F349592735FE}">
    <text>Wind =Demand; Test SNSP</text>
  </threadedComment>
  <threadedComment ref="A3" dT="2025-09-12T12:46:39.14" personId="{A3671517-355B-4537-A00D-5020116DFFF8}" id="{EFBC4DF7-CBED-460B-A734-963688F25EF4}">
    <text xml:space="preserve">Wind = 0.75*Demand
</text>
  </threadedComment>
  <threadedComment ref="A4" dT="2025-09-12T12:46:51.84" personId="{A3671517-355B-4537-A00D-5020116DFFF8}" id="{C97F39E2-88F3-4216-9FC4-4FBD6A584927}">
    <text>Wind = 0.5*Demand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zoomScale="110" zoomScaleNormal="110" workbookViewId="0">
      <selection activeCell="G4" sqref="G4"/>
    </sheetView>
  </sheetViews>
  <sheetFormatPr defaultColWidth="8.6640625" defaultRowHeight="14.4" x14ac:dyDescent="0.3"/>
  <cols>
    <col min="1" max="1020" width="8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58</v>
      </c>
      <c r="F1" s="1" t="s">
        <v>59</v>
      </c>
    </row>
    <row r="2" spans="1:6" x14ac:dyDescent="0.3">
      <c r="A2" s="3" t="s">
        <v>4</v>
      </c>
      <c r="B2" s="3">
        <v>400</v>
      </c>
      <c r="C2" s="3">
        <v>3</v>
      </c>
      <c r="D2" s="3" t="s">
        <v>49</v>
      </c>
      <c r="E2" s="3">
        <v>0.95</v>
      </c>
      <c r="F2" s="3">
        <v>1.05</v>
      </c>
    </row>
    <row r="3" spans="1:6" x14ac:dyDescent="0.3">
      <c r="A3" s="3">
        <v>2</v>
      </c>
      <c r="B3" s="3">
        <v>400</v>
      </c>
      <c r="C3" s="3">
        <v>1</v>
      </c>
      <c r="D3" s="3" t="s">
        <v>50</v>
      </c>
      <c r="E3" s="3">
        <v>0.95</v>
      </c>
      <c r="F3" s="3">
        <v>1.05</v>
      </c>
    </row>
    <row r="4" spans="1:6" x14ac:dyDescent="0.3">
      <c r="A4" s="3">
        <v>3</v>
      </c>
      <c r="B4" s="3">
        <v>138</v>
      </c>
      <c r="C4" s="3">
        <v>1</v>
      </c>
      <c r="D4" s="3" t="s">
        <v>50</v>
      </c>
      <c r="E4" s="3">
        <v>0.95</v>
      </c>
      <c r="F4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G4"/>
  <sheetViews>
    <sheetView zoomScale="110" zoomScaleNormal="110" workbookViewId="0">
      <selection activeCell="C5" sqref="C5"/>
    </sheetView>
  </sheetViews>
  <sheetFormatPr defaultColWidth="8.6640625" defaultRowHeight="14.4" x14ac:dyDescent="0.3"/>
  <cols>
    <col min="1" max="1025" width="8.44140625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57</v>
      </c>
      <c r="E1" s="1" t="s">
        <v>8</v>
      </c>
      <c r="F1" s="1" t="s">
        <v>9</v>
      </c>
    </row>
    <row r="2" spans="1:7" x14ac:dyDescent="0.3">
      <c r="A2" s="3" t="s">
        <v>10</v>
      </c>
      <c r="B2" s="3" t="s">
        <v>4</v>
      </c>
      <c r="C2" s="20">
        <v>0</v>
      </c>
      <c r="D2" s="20">
        <v>0</v>
      </c>
      <c r="E2" s="3" t="s">
        <v>4</v>
      </c>
      <c r="F2" s="3">
        <v>7000</v>
      </c>
      <c r="G2" s="6"/>
    </row>
    <row r="3" spans="1:7" x14ac:dyDescent="0.3">
      <c r="A3" s="3" t="s">
        <v>11</v>
      </c>
      <c r="B3" s="3" t="s">
        <v>5</v>
      </c>
      <c r="C3" s="20">
        <v>200</v>
      </c>
      <c r="D3" s="20">
        <f>C3*(1-0.8)</f>
        <v>39.999999999999993</v>
      </c>
      <c r="E3" s="3" t="s">
        <v>4</v>
      </c>
      <c r="F3" s="3">
        <v>7000</v>
      </c>
      <c r="G3" s="6"/>
    </row>
    <row r="4" spans="1:7" x14ac:dyDescent="0.3">
      <c r="A4" s="3" t="s">
        <v>33</v>
      </c>
      <c r="B4" s="3">
        <v>3</v>
      </c>
      <c r="C4" s="20">
        <v>200</v>
      </c>
      <c r="D4" s="20">
        <f>C4*(1-0.8)</f>
        <v>39.999999999999993</v>
      </c>
      <c r="E4" s="3" t="s">
        <v>4</v>
      </c>
      <c r="F4" s="3">
        <v>7000</v>
      </c>
      <c r="G4" s="6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G12"/>
  <sheetViews>
    <sheetView zoomScale="110" zoomScaleNormal="110" workbookViewId="0">
      <selection activeCell="D2" sqref="D2:D7"/>
    </sheetView>
  </sheetViews>
  <sheetFormatPr defaultColWidth="8.6640625" defaultRowHeight="14.4" x14ac:dyDescent="0.3"/>
  <cols>
    <col min="1" max="1" width="9.109375" customWidth="1"/>
    <col min="2" max="6" width="8.44140625" customWidth="1"/>
    <col min="7" max="7" width="11.33203125" bestFit="1" customWidth="1"/>
    <col min="8" max="1019" width="8.44140625" customWidth="1"/>
  </cols>
  <sheetData>
    <row r="1" spans="1:7" x14ac:dyDescent="0.3">
      <c r="A1" s="2" t="s">
        <v>31</v>
      </c>
      <c r="B1" s="2" t="s">
        <v>10</v>
      </c>
      <c r="C1" s="2" t="s">
        <v>11</v>
      </c>
      <c r="D1" s="2" t="s">
        <v>33</v>
      </c>
    </row>
    <row r="2" spans="1:7" x14ac:dyDescent="0.3">
      <c r="A2" s="4" t="s">
        <v>41</v>
      </c>
      <c r="B2" s="20">
        <v>50</v>
      </c>
      <c r="C2" s="20">
        <v>50</v>
      </c>
      <c r="D2" s="20">
        <v>250</v>
      </c>
      <c r="E2" s="18"/>
    </row>
    <row r="3" spans="1:7" x14ac:dyDescent="0.3">
      <c r="A3" s="4" t="s">
        <v>42</v>
      </c>
      <c r="B3" s="20">
        <v>50</v>
      </c>
      <c r="C3" s="20">
        <v>50</v>
      </c>
      <c r="D3" s="20">
        <v>250</v>
      </c>
      <c r="E3" s="18"/>
    </row>
    <row r="4" spans="1:7" x14ac:dyDescent="0.3">
      <c r="A4" s="4" t="s">
        <v>43</v>
      </c>
      <c r="B4" s="20">
        <v>50</v>
      </c>
      <c r="C4" s="20">
        <v>50</v>
      </c>
      <c r="D4" s="20">
        <v>250</v>
      </c>
      <c r="E4" s="18"/>
    </row>
    <row r="5" spans="1:7" x14ac:dyDescent="0.3">
      <c r="A5" s="4" t="s">
        <v>44</v>
      </c>
      <c r="B5" s="20">
        <v>50</v>
      </c>
      <c r="C5" s="20">
        <v>50</v>
      </c>
      <c r="D5" s="20">
        <v>250</v>
      </c>
      <c r="E5" s="18"/>
    </row>
    <row r="6" spans="1:7" x14ac:dyDescent="0.3">
      <c r="A6" s="4" t="s">
        <v>45</v>
      </c>
      <c r="B6" s="20">
        <v>50</v>
      </c>
      <c r="C6" s="20">
        <v>50</v>
      </c>
      <c r="D6" s="20">
        <v>250</v>
      </c>
      <c r="E6" s="18"/>
    </row>
    <row r="7" spans="1:7" x14ac:dyDescent="0.3">
      <c r="A7" s="4" t="s">
        <v>46</v>
      </c>
      <c r="B7" s="20">
        <v>50</v>
      </c>
      <c r="C7" s="20">
        <v>50</v>
      </c>
      <c r="D7" s="20">
        <v>250</v>
      </c>
      <c r="E7" s="18"/>
      <c r="G7" s="23"/>
    </row>
    <row r="9" spans="1:7" x14ac:dyDescent="0.3">
      <c r="F9" s="6"/>
    </row>
    <row r="10" spans="1:7" x14ac:dyDescent="0.3">
      <c r="F10" s="17"/>
      <c r="G10" s="19"/>
    </row>
    <row r="12" spans="1:7" x14ac:dyDescent="0.3">
      <c r="G12" s="6"/>
    </row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D7"/>
  <sheetViews>
    <sheetView zoomScale="110" zoomScaleNormal="110" workbookViewId="0">
      <selection activeCell="D30" sqref="D30"/>
    </sheetView>
  </sheetViews>
  <sheetFormatPr defaultColWidth="8.6640625" defaultRowHeight="14.4" x14ac:dyDescent="0.3"/>
  <cols>
    <col min="1" max="2" width="9.109375" customWidth="1"/>
    <col min="3" max="1026" width="8.44140625" customWidth="1"/>
  </cols>
  <sheetData>
    <row r="1" spans="1:4" x14ac:dyDescent="0.3">
      <c r="A1" s="2" t="s">
        <v>31</v>
      </c>
      <c r="B1" s="2" t="s">
        <v>10</v>
      </c>
      <c r="C1" s="2" t="s">
        <v>11</v>
      </c>
      <c r="D1" s="2" t="s">
        <v>33</v>
      </c>
    </row>
    <row r="2" spans="1:4" x14ac:dyDescent="0.3">
      <c r="A2" s="4" t="s">
        <v>41</v>
      </c>
      <c r="B2" s="3">
        <v>7000</v>
      </c>
      <c r="C2" s="3">
        <v>7000</v>
      </c>
      <c r="D2" s="3">
        <v>7000</v>
      </c>
    </row>
    <row r="3" spans="1:4" x14ac:dyDescent="0.3">
      <c r="A3" s="4" t="s">
        <v>42</v>
      </c>
      <c r="B3" s="3">
        <v>7000</v>
      </c>
      <c r="C3" s="3">
        <v>7000</v>
      </c>
      <c r="D3" s="3">
        <v>7000</v>
      </c>
    </row>
    <row r="4" spans="1:4" x14ac:dyDescent="0.3">
      <c r="A4" s="4" t="s">
        <v>43</v>
      </c>
      <c r="B4" s="3">
        <v>7000</v>
      </c>
      <c r="C4" s="3">
        <v>7000</v>
      </c>
      <c r="D4" s="3">
        <v>7000</v>
      </c>
    </row>
    <row r="5" spans="1:4" x14ac:dyDescent="0.3">
      <c r="A5" s="4" t="s">
        <v>44</v>
      </c>
      <c r="B5" s="3">
        <v>7000</v>
      </c>
      <c r="C5" s="3">
        <v>7000</v>
      </c>
      <c r="D5" s="3">
        <v>7000</v>
      </c>
    </row>
    <row r="6" spans="1:4" x14ac:dyDescent="0.3">
      <c r="A6" s="4" t="s">
        <v>45</v>
      </c>
      <c r="B6" s="3">
        <v>7000</v>
      </c>
      <c r="C6" s="3">
        <v>7000</v>
      </c>
      <c r="D6" s="3">
        <v>7000</v>
      </c>
    </row>
    <row r="7" spans="1:4" x14ac:dyDescent="0.3">
      <c r="A7" s="4" t="s">
        <v>46</v>
      </c>
      <c r="B7" s="3">
        <v>7000</v>
      </c>
      <c r="C7" s="3">
        <v>7000</v>
      </c>
      <c r="D7" s="3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"/>
  <sheetViews>
    <sheetView zoomScaleNormal="100" workbookViewId="0">
      <selection activeCell="I2" sqref="I2:I3"/>
    </sheetView>
  </sheetViews>
  <sheetFormatPr defaultColWidth="8.6640625" defaultRowHeight="14.4" x14ac:dyDescent="0.3"/>
  <cols>
    <col min="1" max="1" width="10.33203125" bestFit="1" customWidth="1"/>
    <col min="2" max="2" width="18.5546875" bestFit="1" customWidth="1"/>
    <col min="3" max="3" width="16.109375" bestFit="1" customWidth="1"/>
    <col min="4" max="4" width="8.5546875" bestFit="1" customWidth="1"/>
    <col min="5" max="7" width="9.5546875" customWidth="1"/>
    <col min="8" max="8" width="20" bestFit="1" customWidth="1"/>
    <col min="9" max="9" width="19.6640625" bestFit="1" customWidth="1"/>
    <col min="10" max="1019" width="8.44140625" customWidth="1"/>
  </cols>
  <sheetData>
    <row r="1" spans="1:9" x14ac:dyDescent="0.3">
      <c r="A1" s="1" t="s">
        <v>0</v>
      </c>
      <c r="B1" s="1" t="s">
        <v>12</v>
      </c>
      <c r="C1" s="1" t="s">
        <v>13</v>
      </c>
      <c r="D1" s="1" t="s">
        <v>8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60</v>
      </c>
    </row>
    <row r="2" spans="1:9" x14ac:dyDescent="0.3">
      <c r="A2" s="3" t="s">
        <v>37</v>
      </c>
      <c r="B2" s="3">
        <v>1</v>
      </c>
      <c r="C2" s="3">
        <v>2</v>
      </c>
      <c r="D2" s="3" t="s">
        <v>4</v>
      </c>
      <c r="E2" s="3">
        <v>2.5999999999999999E-3</v>
      </c>
      <c r="F2" s="3" t="s">
        <v>38</v>
      </c>
      <c r="G2" s="3">
        <v>0</v>
      </c>
      <c r="H2" s="16" t="s">
        <v>29</v>
      </c>
      <c r="I2" s="16">
        <v>200</v>
      </c>
    </row>
    <row r="3" spans="1:9" x14ac:dyDescent="0.3">
      <c r="A3" s="3" t="s">
        <v>34</v>
      </c>
      <c r="B3" s="3">
        <v>1</v>
      </c>
      <c r="C3" s="3">
        <v>2</v>
      </c>
      <c r="D3" s="3" t="s">
        <v>4</v>
      </c>
      <c r="E3" s="3">
        <v>2.5999999999999999E-3</v>
      </c>
      <c r="F3" s="3" t="s">
        <v>38</v>
      </c>
      <c r="G3" s="3">
        <v>0</v>
      </c>
      <c r="H3" s="16" t="s">
        <v>29</v>
      </c>
      <c r="I3" s="16">
        <v>200</v>
      </c>
    </row>
  </sheetData>
  <autoFilter ref="A1:I3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C7"/>
  <sheetViews>
    <sheetView zoomScale="110" zoomScaleNormal="110" workbookViewId="0">
      <selection activeCell="B2" sqref="B2:C7"/>
    </sheetView>
  </sheetViews>
  <sheetFormatPr defaultColWidth="8.6640625" defaultRowHeight="14.4" x14ac:dyDescent="0.3"/>
  <cols>
    <col min="1" max="2" width="9.109375" customWidth="1"/>
    <col min="3" max="1020" width="8.44140625" customWidth="1"/>
  </cols>
  <sheetData>
    <row r="1" spans="1:3" x14ac:dyDescent="0.3">
      <c r="A1" s="2" t="s">
        <v>31</v>
      </c>
      <c r="B1" s="2" t="s">
        <v>37</v>
      </c>
      <c r="C1" s="2" t="s">
        <v>34</v>
      </c>
    </row>
    <row r="2" spans="1:3" x14ac:dyDescent="0.3">
      <c r="A2" s="4" t="s">
        <v>41</v>
      </c>
      <c r="B2" s="3">
        <v>200</v>
      </c>
      <c r="C2" s="3">
        <v>200</v>
      </c>
    </row>
    <row r="3" spans="1:3" x14ac:dyDescent="0.3">
      <c r="A3" s="4" t="s">
        <v>42</v>
      </c>
      <c r="B3" s="3">
        <v>200</v>
      </c>
      <c r="C3" s="3">
        <v>200</v>
      </c>
    </row>
    <row r="4" spans="1:3" x14ac:dyDescent="0.3">
      <c r="A4" s="4" t="s">
        <v>43</v>
      </c>
      <c r="B4" s="3">
        <v>200</v>
      </c>
      <c r="C4" s="3">
        <v>200</v>
      </c>
    </row>
    <row r="5" spans="1:3" x14ac:dyDescent="0.3">
      <c r="A5" s="4" t="s">
        <v>44</v>
      </c>
      <c r="B5" s="3">
        <v>200</v>
      </c>
      <c r="C5" s="3">
        <v>200</v>
      </c>
    </row>
    <row r="6" spans="1:3" x14ac:dyDescent="0.3">
      <c r="A6" s="4" t="s">
        <v>45</v>
      </c>
      <c r="B6" s="3">
        <v>200</v>
      </c>
      <c r="C6" s="3">
        <v>200</v>
      </c>
    </row>
    <row r="7" spans="1:3" x14ac:dyDescent="0.3">
      <c r="A7" s="4" t="s">
        <v>46</v>
      </c>
      <c r="B7" s="3">
        <v>200</v>
      </c>
      <c r="C7" s="3">
        <v>200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J3"/>
  <sheetViews>
    <sheetView zoomScale="110" zoomScaleNormal="110" workbookViewId="0">
      <selection activeCell="J2" sqref="J2:J3"/>
    </sheetView>
  </sheetViews>
  <sheetFormatPr defaultColWidth="8.6640625" defaultRowHeight="14.4" x14ac:dyDescent="0.3"/>
  <cols>
    <col min="1" max="1" width="7.6640625" bestFit="1" customWidth="1"/>
    <col min="2" max="2" width="14" bestFit="1" customWidth="1"/>
    <col min="3" max="3" width="11.5546875" bestFit="1" customWidth="1"/>
    <col min="4" max="4" width="11.5546875" customWidth="1"/>
    <col min="5" max="5" width="6.5546875" bestFit="1" customWidth="1"/>
    <col min="6" max="6" width="10" customWidth="1"/>
    <col min="7" max="7" width="15.33203125" bestFit="1" customWidth="1"/>
    <col min="8" max="8" width="15.109375" bestFit="1" customWidth="1"/>
    <col min="9" max="9" width="16" bestFit="1" customWidth="1"/>
    <col min="10" max="10" width="16.88671875" bestFit="1" customWidth="1"/>
    <col min="11" max="1013" width="8.44140625" customWidth="1"/>
  </cols>
  <sheetData>
    <row r="1" spans="1:10" x14ac:dyDescent="0.3">
      <c r="A1" s="5" t="s">
        <v>0</v>
      </c>
      <c r="B1" s="5" t="s">
        <v>12</v>
      </c>
      <c r="C1" s="5" t="s">
        <v>13</v>
      </c>
      <c r="D1" s="5" t="s">
        <v>2</v>
      </c>
      <c r="E1" s="5" t="s">
        <v>8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60</v>
      </c>
    </row>
    <row r="2" spans="1:10" x14ac:dyDescent="0.3">
      <c r="A2" s="4" t="s">
        <v>35</v>
      </c>
      <c r="B2" s="4">
        <v>1</v>
      </c>
      <c r="C2" s="4">
        <v>3</v>
      </c>
      <c r="D2" s="4">
        <v>1</v>
      </c>
      <c r="E2" s="4" t="s">
        <v>4</v>
      </c>
      <c r="F2" s="3">
        <v>2.5999999999999999E-3</v>
      </c>
      <c r="G2" s="3" t="s">
        <v>38</v>
      </c>
      <c r="H2" s="4">
        <v>0</v>
      </c>
      <c r="I2" s="7">
        <v>500</v>
      </c>
      <c r="J2" s="7">
        <v>500</v>
      </c>
    </row>
    <row r="3" spans="1:10" x14ac:dyDescent="0.3">
      <c r="A3" s="4" t="s">
        <v>36</v>
      </c>
      <c r="B3" s="4">
        <v>1</v>
      </c>
      <c r="C3" s="4">
        <v>3</v>
      </c>
      <c r="D3" s="4">
        <v>1</v>
      </c>
      <c r="E3" s="4" t="s">
        <v>4</v>
      </c>
      <c r="F3" s="3">
        <v>2.5999999999999999E-3</v>
      </c>
      <c r="G3" s="3" t="s">
        <v>38</v>
      </c>
      <c r="H3" s="4">
        <v>0</v>
      </c>
      <c r="I3" s="7">
        <v>500</v>
      </c>
      <c r="J3" s="7"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C7"/>
  <sheetViews>
    <sheetView zoomScale="110" zoomScaleNormal="110" workbookViewId="0">
      <selection activeCell="G28" sqref="G28"/>
    </sheetView>
  </sheetViews>
  <sheetFormatPr defaultColWidth="8.6640625" defaultRowHeight="14.4" x14ac:dyDescent="0.3"/>
  <cols>
    <col min="1" max="2" width="9.109375" customWidth="1"/>
    <col min="3" max="1020" width="8.44140625" customWidth="1"/>
  </cols>
  <sheetData>
    <row r="1" spans="1:3" x14ac:dyDescent="0.3">
      <c r="A1" s="2" t="s">
        <v>31</v>
      </c>
      <c r="B1" s="8" t="s">
        <v>35</v>
      </c>
      <c r="C1" s="8" t="s">
        <v>36</v>
      </c>
    </row>
    <row r="2" spans="1:3" x14ac:dyDescent="0.3">
      <c r="A2" s="4" t="s">
        <v>41</v>
      </c>
      <c r="B2" s="3">
        <v>20</v>
      </c>
      <c r="C2" s="3">
        <v>20</v>
      </c>
    </row>
    <row r="3" spans="1:3" x14ac:dyDescent="0.3">
      <c r="A3" s="4" t="s">
        <v>42</v>
      </c>
      <c r="B3" s="3">
        <v>20</v>
      </c>
      <c r="C3" s="3">
        <v>20</v>
      </c>
    </row>
    <row r="4" spans="1:3" x14ac:dyDescent="0.3">
      <c r="A4" s="4" t="s">
        <v>43</v>
      </c>
      <c r="B4" s="3">
        <v>20</v>
      </c>
      <c r="C4" s="3">
        <v>20</v>
      </c>
    </row>
    <row r="5" spans="1:3" x14ac:dyDescent="0.3">
      <c r="A5" s="4" t="s">
        <v>44</v>
      </c>
      <c r="B5" s="3">
        <v>20</v>
      </c>
      <c r="C5" s="3">
        <v>90</v>
      </c>
    </row>
    <row r="6" spans="1:3" x14ac:dyDescent="0.3">
      <c r="A6" s="4" t="s">
        <v>45</v>
      </c>
      <c r="B6" s="3">
        <v>20</v>
      </c>
      <c r="C6" s="3">
        <v>90</v>
      </c>
    </row>
    <row r="7" spans="1:3" x14ac:dyDescent="0.3">
      <c r="A7" s="4" t="s">
        <v>46</v>
      </c>
      <c r="B7" s="3">
        <v>20</v>
      </c>
      <c r="C7" s="3">
        <v>90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3"/>
  <sheetViews>
    <sheetView tabSelected="1" topLeftCell="C1" zoomScaleNormal="100" workbookViewId="0">
      <selection activeCell="J4" sqref="J4"/>
    </sheetView>
  </sheetViews>
  <sheetFormatPr defaultColWidth="8.6640625" defaultRowHeight="14.4" x14ac:dyDescent="0.3"/>
  <cols>
    <col min="1" max="1" width="13.33203125" bestFit="1" customWidth="1"/>
    <col min="2" max="2" width="10.33203125" customWidth="1"/>
    <col min="3" max="4" width="17.33203125" bestFit="1" customWidth="1"/>
    <col min="5" max="5" width="20.33203125" bestFit="1" customWidth="1"/>
    <col min="6" max="6" width="33.44140625" bestFit="1" customWidth="1"/>
    <col min="7" max="7" width="8.5546875" bestFit="1" customWidth="1"/>
    <col min="8" max="8" width="9.33203125" bestFit="1" customWidth="1"/>
    <col min="9" max="9" width="15.44140625" bestFit="1" customWidth="1"/>
    <col min="10" max="10" width="10.44140625" bestFit="1" customWidth="1"/>
    <col min="11" max="11" width="10.109375" bestFit="1" customWidth="1"/>
    <col min="12" max="12" width="10.44140625" bestFit="1" customWidth="1"/>
    <col min="13" max="13" width="10.109375" bestFit="1" customWidth="1"/>
    <col min="14" max="14" width="10.44140625" bestFit="1" customWidth="1"/>
    <col min="15" max="16" width="13.33203125" bestFit="1" customWidth="1"/>
    <col min="17" max="18" width="10.6640625" bestFit="1" customWidth="1"/>
    <col min="19" max="19" width="8.33203125" bestFit="1" customWidth="1"/>
    <col min="20" max="20" width="9.6640625" bestFit="1" customWidth="1"/>
    <col min="21" max="1020" width="8.44140625" customWidth="1"/>
  </cols>
  <sheetData>
    <row r="1" spans="1:20" x14ac:dyDescent="0.3">
      <c r="A1" s="1" t="s">
        <v>6</v>
      </c>
      <c r="B1" s="1" t="s">
        <v>0</v>
      </c>
      <c r="C1" s="1" t="s">
        <v>26</v>
      </c>
      <c r="D1" s="1" t="s">
        <v>53</v>
      </c>
      <c r="E1" s="1" t="s">
        <v>27</v>
      </c>
      <c r="F1" s="1" t="s">
        <v>48</v>
      </c>
      <c r="G1" s="1" t="s">
        <v>8</v>
      </c>
      <c r="H1" s="1" t="s">
        <v>2</v>
      </c>
      <c r="I1" s="1" t="s">
        <v>47</v>
      </c>
      <c r="J1" s="1" t="s">
        <v>67</v>
      </c>
      <c r="K1" s="1" t="s">
        <v>18</v>
      </c>
      <c r="L1" s="1" t="s">
        <v>19</v>
      </c>
      <c r="M1" s="1" t="s">
        <v>55</v>
      </c>
      <c r="N1" s="1" t="s">
        <v>56</v>
      </c>
      <c r="O1" s="1" t="s">
        <v>21</v>
      </c>
      <c r="P1" s="1" t="s">
        <v>28</v>
      </c>
      <c r="Q1" s="1" t="s">
        <v>22</v>
      </c>
      <c r="R1" s="1" t="s">
        <v>23</v>
      </c>
      <c r="S1" s="2" t="s">
        <v>24</v>
      </c>
      <c r="T1" s="2" t="s">
        <v>20</v>
      </c>
    </row>
    <row r="2" spans="1:20" s="14" customFormat="1" x14ac:dyDescent="0.3">
      <c r="A2" s="9">
        <v>1</v>
      </c>
      <c r="B2" s="9" t="s">
        <v>39</v>
      </c>
      <c r="C2" s="10" t="s">
        <v>32</v>
      </c>
      <c r="D2" s="9"/>
      <c r="E2" s="10"/>
      <c r="F2" s="10" t="s">
        <v>52</v>
      </c>
      <c r="G2" s="10">
        <v>1</v>
      </c>
      <c r="H2" s="11"/>
      <c r="I2" s="12">
        <v>0</v>
      </c>
      <c r="J2" s="21">
        <v>100</v>
      </c>
      <c r="K2" s="12">
        <v>20</v>
      </c>
      <c r="L2" s="21">
        <v>200</v>
      </c>
      <c r="M2" s="12">
        <f>-$L2*0.3123</f>
        <v>-62.460000000000008</v>
      </c>
      <c r="N2" s="12">
        <f>$L2*0.3123</f>
        <v>62.460000000000008</v>
      </c>
      <c r="O2" s="9" t="s">
        <v>40</v>
      </c>
      <c r="P2" s="9" t="s">
        <v>30</v>
      </c>
      <c r="Q2" s="10">
        <v>0</v>
      </c>
      <c r="R2" s="15">
        <v>0</v>
      </c>
      <c r="S2" s="13">
        <v>90</v>
      </c>
      <c r="T2" s="22">
        <v>200</v>
      </c>
    </row>
    <row r="3" spans="1:20" s="14" customFormat="1" x14ac:dyDescent="0.3">
      <c r="A3" s="9">
        <v>1</v>
      </c>
      <c r="B3" s="9" t="s">
        <v>54</v>
      </c>
      <c r="C3" s="10" t="s">
        <v>32</v>
      </c>
      <c r="D3" s="9"/>
      <c r="E3" s="10"/>
      <c r="F3" s="10" t="s">
        <v>51</v>
      </c>
      <c r="G3" s="10">
        <v>1</v>
      </c>
      <c r="H3" s="11"/>
      <c r="I3" s="12">
        <v>0</v>
      </c>
      <c r="J3" s="21">
        <f>L3*1.1</f>
        <v>220.00000000000003</v>
      </c>
      <c r="K3" s="12">
        <v>20</v>
      </c>
      <c r="L3" s="21">
        <v>200</v>
      </c>
      <c r="M3" s="12">
        <f>-$L3*0.3123</f>
        <v>-62.460000000000008</v>
      </c>
      <c r="N3" s="12">
        <f>$L3*0.3123</f>
        <v>62.460000000000008</v>
      </c>
      <c r="O3" s="9" t="s">
        <v>40</v>
      </c>
      <c r="P3" s="9" t="s">
        <v>30</v>
      </c>
      <c r="Q3" s="10">
        <v>0</v>
      </c>
      <c r="R3" s="15">
        <v>0</v>
      </c>
      <c r="S3" s="13">
        <v>90</v>
      </c>
      <c r="T3" s="22">
        <v>200</v>
      </c>
    </row>
  </sheetData>
  <autoFilter ref="A1:T3" xr:uid="{00000000-0001-0000-0700-000000000000}"/>
  <phoneticPr fontId="4" type="noConversion"/>
  <conditionalFormatting sqref="D2:D3">
    <cfRule type="expression" dxfId="3" priority="3">
      <formula>($C2&lt;&gt;"LIFO")</formula>
    </cfRule>
  </conditionalFormatting>
  <conditionalFormatting sqref="E2:E3">
    <cfRule type="expression" dxfId="2" priority="2">
      <formula>($C2&lt;&gt;"Pro-Rata")</formula>
    </cfRule>
  </conditionalFormatting>
  <dataValidations disablePrompts="1" count="1">
    <dataValidation type="list" allowBlank="1" showInputMessage="1" showErrorMessage="1" sqref="C2:C3" xr:uid="{93378767-7322-405A-9798-43C52CE33CE3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13F2-C360-4460-B146-26A12BB7EB03}">
  <sheetPr>
    <tabColor theme="4" tint="-0.249977111117893"/>
  </sheetPr>
  <dimension ref="A1:C7"/>
  <sheetViews>
    <sheetView workbookViewId="0">
      <selection activeCell="Q21" sqref="Q21:Q22"/>
    </sheetView>
  </sheetViews>
  <sheetFormatPr defaultRowHeight="14.4" x14ac:dyDescent="0.3"/>
  <sheetData>
    <row r="1" spans="1:3" x14ac:dyDescent="0.3">
      <c r="A1" s="2" t="s">
        <v>31</v>
      </c>
      <c r="B1" s="8" t="s">
        <v>39</v>
      </c>
      <c r="C1" s="8" t="s">
        <v>54</v>
      </c>
    </row>
    <row r="2" spans="1:3" x14ac:dyDescent="0.3">
      <c r="A2" s="4" t="s">
        <v>41</v>
      </c>
      <c r="B2" s="9">
        <v>0</v>
      </c>
      <c r="C2" s="9">
        <v>0</v>
      </c>
    </row>
    <row r="3" spans="1:3" x14ac:dyDescent="0.3">
      <c r="A3" s="4" t="s">
        <v>42</v>
      </c>
      <c r="B3" s="9">
        <v>0</v>
      </c>
      <c r="C3" s="9">
        <v>0</v>
      </c>
    </row>
    <row r="4" spans="1:3" x14ac:dyDescent="0.3">
      <c r="A4" s="4" t="s">
        <v>43</v>
      </c>
      <c r="B4" s="9">
        <v>0</v>
      </c>
      <c r="C4" s="9">
        <v>0</v>
      </c>
    </row>
    <row r="5" spans="1:3" x14ac:dyDescent="0.3">
      <c r="A5" s="4" t="s">
        <v>44</v>
      </c>
      <c r="B5" s="9">
        <v>0</v>
      </c>
      <c r="C5" s="9">
        <v>0</v>
      </c>
    </row>
    <row r="6" spans="1:3" x14ac:dyDescent="0.3">
      <c r="A6" s="4" t="s">
        <v>45</v>
      </c>
      <c r="B6" s="9">
        <v>0</v>
      </c>
      <c r="C6" s="9">
        <v>0</v>
      </c>
    </row>
    <row r="7" spans="1:3" x14ac:dyDescent="0.3">
      <c r="A7" s="4" t="s">
        <v>46</v>
      </c>
      <c r="B7" s="9">
        <v>0</v>
      </c>
      <c r="C7" s="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C7"/>
  <sheetViews>
    <sheetView workbookViewId="0">
      <selection activeCell="B2" sqref="B2:C7"/>
    </sheetView>
  </sheetViews>
  <sheetFormatPr defaultRowHeight="14.4" x14ac:dyDescent="0.3"/>
  <sheetData>
    <row r="1" spans="1:3" x14ac:dyDescent="0.3">
      <c r="A1" s="2" t="s">
        <v>31</v>
      </c>
      <c r="B1" s="8" t="s">
        <v>39</v>
      </c>
      <c r="C1" s="8" t="s">
        <v>54</v>
      </c>
    </row>
    <row r="2" spans="1:3" x14ac:dyDescent="0.3">
      <c r="A2" s="4" t="s">
        <v>41</v>
      </c>
      <c r="B2" s="9">
        <v>20</v>
      </c>
      <c r="C2" s="9">
        <v>20</v>
      </c>
    </row>
    <row r="3" spans="1:3" x14ac:dyDescent="0.3">
      <c r="A3" s="4" t="s">
        <v>42</v>
      </c>
      <c r="B3" s="9">
        <v>20</v>
      </c>
      <c r="C3" s="9">
        <v>20</v>
      </c>
    </row>
    <row r="4" spans="1:3" x14ac:dyDescent="0.3">
      <c r="A4" s="4" t="s">
        <v>43</v>
      </c>
      <c r="B4" s="9">
        <v>20</v>
      </c>
      <c r="C4" s="9">
        <v>20</v>
      </c>
    </row>
    <row r="5" spans="1:3" x14ac:dyDescent="0.3">
      <c r="A5" s="4" t="s">
        <v>44</v>
      </c>
      <c r="B5" s="9">
        <v>20</v>
      </c>
      <c r="C5" s="9">
        <v>20</v>
      </c>
    </row>
    <row r="6" spans="1:3" x14ac:dyDescent="0.3">
      <c r="A6" s="4" t="s">
        <v>45</v>
      </c>
      <c r="B6" s="9">
        <v>20</v>
      </c>
      <c r="C6" s="9">
        <v>20</v>
      </c>
    </row>
    <row r="7" spans="1:3" x14ac:dyDescent="0.3">
      <c r="A7" s="4" t="s">
        <v>46</v>
      </c>
      <c r="B7" s="9">
        <v>20</v>
      </c>
      <c r="C7" s="9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C7"/>
  <sheetViews>
    <sheetView workbookViewId="0">
      <selection activeCell="M21" sqref="M20:M21"/>
    </sheetView>
  </sheetViews>
  <sheetFormatPr defaultRowHeight="14.4" x14ac:dyDescent="0.3"/>
  <sheetData>
    <row r="1" spans="1:3" x14ac:dyDescent="0.3">
      <c r="A1" s="2" t="s">
        <v>31</v>
      </c>
      <c r="B1" s="8" t="s">
        <v>39</v>
      </c>
      <c r="C1" s="8" t="s">
        <v>54</v>
      </c>
    </row>
    <row r="2" spans="1:3" x14ac:dyDescent="0.3">
      <c r="A2" s="4" t="s">
        <v>41</v>
      </c>
      <c r="B2" s="24">
        <v>250</v>
      </c>
      <c r="C2" s="24">
        <v>250</v>
      </c>
    </row>
    <row r="3" spans="1:3" x14ac:dyDescent="0.3">
      <c r="A3" s="4" t="s">
        <v>42</v>
      </c>
      <c r="B3" s="24">
        <v>250</v>
      </c>
      <c r="C3" s="24">
        <v>250</v>
      </c>
    </row>
    <row r="4" spans="1:3" x14ac:dyDescent="0.3">
      <c r="A4" s="4" t="s">
        <v>43</v>
      </c>
      <c r="B4" s="24">
        <v>250</v>
      </c>
      <c r="C4" s="24">
        <v>250</v>
      </c>
    </row>
    <row r="5" spans="1:3" x14ac:dyDescent="0.3">
      <c r="A5" s="4" t="s">
        <v>44</v>
      </c>
      <c r="B5" s="24">
        <v>250</v>
      </c>
      <c r="C5" s="24">
        <v>250</v>
      </c>
    </row>
    <row r="6" spans="1:3" x14ac:dyDescent="0.3">
      <c r="A6" s="4" t="s">
        <v>45</v>
      </c>
      <c r="B6" s="24">
        <v>250</v>
      </c>
      <c r="C6" s="24">
        <v>250</v>
      </c>
    </row>
    <row r="7" spans="1:3" x14ac:dyDescent="0.3">
      <c r="A7" s="4" t="s">
        <v>46</v>
      </c>
      <c r="B7" s="24">
        <v>250</v>
      </c>
      <c r="C7" s="24">
        <v>250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C7"/>
  <sheetViews>
    <sheetView workbookViewId="0">
      <selection activeCell="C1" sqref="C1"/>
    </sheetView>
  </sheetViews>
  <sheetFormatPr defaultRowHeight="14.4" x14ac:dyDescent="0.3"/>
  <sheetData>
    <row r="1" spans="1:3" x14ac:dyDescent="0.3">
      <c r="A1" s="2" t="s">
        <v>31</v>
      </c>
      <c r="B1" s="8" t="s">
        <v>39</v>
      </c>
      <c r="C1" s="8" t="s">
        <v>54</v>
      </c>
    </row>
    <row r="2" spans="1:3" x14ac:dyDescent="0.3">
      <c r="A2" s="4" t="s">
        <v>41</v>
      </c>
      <c r="B2" s="10">
        <v>40</v>
      </c>
      <c r="C2" s="10">
        <v>40</v>
      </c>
    </row>
    <row r="3" spans="1:3" x14ac:dyDescent="0.3">
      <c r="A3" s="4" t="s">
        <v>42</v>
      </c>
      <c r="B3" s="10">
        <v>40</v>
      </c>
      <c r="C3" s="10">
        <v>40</v>
      </c>
    </row>
    <row r="4" spans="1:3" x14ac:dyDescent="0.3">
      <c r="A4" s="4" t="s">
        <v>43</v>
      </c>
      <c r="B4" s="10">
        <v>40</v>
      </c>
      <c r="C4" s="10">
        <v>40</v>
      </c>
    </row>
    <row r="5" spans="1:3" x14ac:dyDescent="0.3">
      <c r="A5" s="4" t="s">
        <v>44</v>
      </c>
      <c r="B5" s="10">
        <v>40</v>
      </c>
      <c r="C5" s="10">
        <v>40</v>
      </c>
    </row>
    <row r="6" spans="1:3" x14ac:dyDescent="0.3">
      <c r="A6" s="4" t="s">
        <v>45</v>
      </c>
      <c r="B6" s="10">
        <v>40</v>
      </c>
      <c r="C6" s="10">
        <v>40</v>
      </c>
    </row>
    <row r="7" spans="1:3" x14ac:dyDescent="0.3">
      <c r="A7" s="4" t="s">
        <v>46</v>
      </c>
      <c r="B7" s="10">
        <v>40</v>
      </c>
      <c r="C7" s="10">
        <v>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7030A0"/>
  </sheetPr>
  <dimension ref="A1:W3"/>
  <sheetViews>
    <sheetView topLeftCell="F1" workbookViewId="0">
      <selection activeCell="L1" sqref="L1:M3"/>
    </sheetView>
  </sheetViews>
  <sheetFormatPr defaultColWidth="8.6640625" defaultRowHeight="14.4" x14ac:dyDescent="0.3"/>
  <cols>
    <col min="1" max="1" width="13.33203125" bestFit="1" customWidth="1"/>
    <col min="2" max="2" width="10.33203125" customWidth="1"/>
    <col min="3" max="4" width="17.33203125" bestFit="1" customWidth="1"/>
    <col min="5" max="5" width="20.33203125" bestFit="1" customWidth="1"/>
    <col min="6" max="6" width="33.44140625" bestFit="1" customWidth="1"/>
    <col min="7" max="7" width="8.5546875" bestFit="1" customWidth="1"/>
    <col min="8" max="8" width="9.33203125" bestFit="1" customWidth="1"/>
    <col min="9" max="9" width="15.44140625" customWidth="1"/>
    <col min="10" max="10" width="10.109375" bestFit="1" customWidth="1"/>
    <col min="11" max="11" width="10.44140625" bestFit="1" customWidth="1"/>
    <col min="12" max="12" width="10.109375" bestFit="1" customWidth="1"/>
    <col min="13" max="13" width="10.44140625" bestFit="1" customWidth="1"/>
    <col min="14" max="14" width="10.109375" bestFit="1" customWidth="1"/>
    <col min="15" max="15" width="10.44140625" bestFit="1" customWidth="1"/>
    <col min="16" max="16" width="10.109375" bestFit="1" customWidth="1"/>
    <col min="17" max="17" width="10.44140625" bestFit="1" customWidth="1"/>
    <col min="18" max="19" width="13.33203125" bestFit="1" customWidth="1"/>
    <col min="20" max="21" width="10.6640625" bestFit="1" customWidth="1"/>
    <col min="22" max="22" width="8.33203125" bestFit="1" customWidth="1"/>
    <col min="23" max="23" width="9.6640625" bestFit="1" customWidth="1"/>
    <col min="24" max="1023" width="8.44140625" customWidth="1"/>
  </cols>
  <sheetData>
    <row r="1" spans="1:23" x14ac:dyDescent="0.3">
      <c r="A1" s="1" t="s">
        <v>6</v>
      </c>
      <c r="B1" s="1" t="s">
        <v>0</v>
      </c>
      <c r="C1" s="1" t="s">
        <v>26</v>
      </c>
      <c r="D1" s="1" t="s">
        <v>53</v>
      </c>
      <c r="E1" s="1" t="s">
        <v>27</v>
      </c>
      <c r="F1" s="1" t="s">
        <v>48</v>
      </c>
      <c r="G1" s="1" t="s">
        <v>8</v>
      </c>
      <c r="H1" s="1" t="s">
        <v>2</v>
      </c>
      <c r="I1" s="1" t="s">
        <v>64</v>
      </c>
      <c r="J1" s="1" t="s">
        <v>62</v>
      </c>
      <c r="K1" s="1" t="s">
        <v>63</v>
      </c>
      <c r="L1" s="1" t="s">
        <v>65</v>
      </c>
      <c r="M1" s="1" t="s">
        <v>66</v>
      </c>
      <c r="N1" s="1" t="s">
        <v>18</v>
      </c>
      <c r="O1" s="1" t="s">
        <v>19</v>
      </c>
      <c r="P1" s="1" t="s">
        <v>55</v>
      </c>
      <c r="Q1" s="1" t="s">
        <v>56</v>
      </c>
      <c r="R1" s="1" t="s">
        <v>61</v>
      </c>
      <c r="S1" s="1" t="s">
        <v>28</v>
      </c>
      <c r="T1" s="1" t="s">
        <v>22</v>
      </c>
      <c r="U1" s="1" t="s">
        <v>23</v>
      </c>
      <c r="V1" s="2" t="s">
        <v>24</v>
      </c>
      <c r="W1" s="2" t="s">
        <v>20</v>
      </c>
    </row>
    <row r="2" spans="1:23" s="14" customFormat="1" x14ac:dyDescent="0.3">
      <c r="A2" s="9">
        <v>1</v>
      </c>
      <c r="B2" s="9" t="s">
        <v>39</v>
      </c>
      <c r="C2" s="10" t="s">
        <v>32</v>
      </c>
      <c r="D2" s="9"/>
      <c r="E2" s="10"/>
      <c r="F2" s="10" t="s">
        <v>52</v>
      </c>
      <c r="G2" s="10">
        <v>1</v>
      </c>
      <c r="H2" s="11"/>
      <c r="I2" s="25">
        <v>0.5</v>
      </c>
      <c r="J2" s="25">
        <v>0.9</v>
      </c>
      <c r="K2" s="20">
        <v>0.9</v>
      </c>
      <c r="L2" s="12">
        <v>0</v>
      </c>
      <c r="M2" s="21">
        <v>50</v>
      </c>
      <c r="N2" s="12">
        <v>-40</v>
      </c>
      <c r="O2" s="21">
        <v>40</v>
      </c>
      <c r="P2" s="12">
        <f>$N2*0.3123</f>
        <v>-12.492000000000001</v>
      </c>
      <c r="Q2" s="12">
        <f>$O2*0.3123</f>
        <v>12.492000000000001</v>
      </c>
      <c r="R2" s="9" t="s">
        <v>40</v>
      </c>
      <c r="S2" s="9" t="s">
        <v>30</v>
      </c>
      <c r="T2" s="10">
        <v>0</v>
      </c>
      <c r="U2" s="15">
        <v>0</v>
      </c>
      <c r="V2" s="13">
        <v>90</v>
      </c>
      <c r="W2" s="22">
        <v>200</v>
      </c>
    </row>
    <row r="3" spans="1:23" s="14" customFormat="1" x14ac:dyDescent="0.3">
      <c r="A3" s="9">
        <v>1</v>
      </c>
      <c r="B3" s="9" t="s">
        <v>54</v>
      </c>
      <c r="C3" s="10" t="s">
        <v>32</v>
      </c>
      <c r="D3" s="9"/>
      <c r="E3" s="10"/>
      <c r="F3" s="10" t="s">
        <v>51</v>
      </c>
      <c r="G3" s="10">
        <v>1</v>
      </c>
      <c r="H3" s="11"/>
      <c r="I3" s="25">
        <v>0.5</v>
      </c>
      <c r="J3" s="25">
        <v>0.9</v>
      </c>
      <c r="K3" s="20">
        <v>0.9</v>
      </c>
      <c r="L3" s="12">
        <v>0</v>
      </c>
      <c r="M3" s="21">
        <v>50</v>
      </c>
      <c r="N3" s="12">
        <v>-40</v>
      </c>
      <c r="O3" s="21">
        <v>40</v>
      </c>
      <c r="P3" s="12">
        <f>$N3*0.3123</f>
        <v>-12.492000000000001</v>
      </c>
      <c r="Q3" s="12">
        <f>$O3*0.3123</f>
        <v>12.492000000000001</v>
      </c>
      <c r="R3" s="9" t="s">
        <v>40</v>
      </c>
      <c r="S3" s="9" t="s">
        <v>30</v>
      </c>
      <c r="T3" s="10">
        <v>0</v>
      </c>
      <c r="U3" s="15">
        <v>0</v>
      </c>
      <c r="V3" s="13">
        <v>90</v>
      </c>
      <c r="W3" s="22">
        <v>200</v>
      </c>
    </row>
  </sheetData>
  <conditionalFormatting sqref="D2:D3">
    <cfRule type="expression" dxfId="1" priority="2">
      <formula>($C2&lt;&gt;"LIFO")</formula>
    </cfRule>
  </conditionalFormatting>
  <conditionalFormatting sqref="E2:E3">
    <cfRule type="expression" dxfId="0" priority="1">
      <formula>($C2&lt;&gt;"Pro-Rata")</formula>
    </cfRule>
  </conditionalFormatting>
  <dataValidations disablePrompts="1" count="1">
    <dataValidation type="list" allowBlank="1" showInputMessage="1" showErrorMessage="1" sqref="C2:C3" xr:uid="{61FCC553-4216-4C37-91E8-387C9F5992F3}">
      <formula1>"Individual,Uncontrollable,LIFO,Pro-Rata"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L28" sqref="L28"/>
    </sheetView>
  </sheetViews>
  <sheetFormatPr defaultColWidth="8.6640625" defaultRowHeight="14.4" x14ac:dyDescent="0.3"/>
  <cols>
    <col min="1" max="1025" width="8.44140625" customWidth="1"/>
  </cols>
  <sheetData>
    <row r="1" spans="1:1" x14ac:dyDescent="0.3">
      <c r="A1" s="1" t="s">
        <v>25</v>
      </c>
    </row>
    <row r="2" spans="1:1" x14ac:dyDescent="0.3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8DCC68-DE29-405F-AF91-B4AEFE460474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3f97e4a-4cde-4203-a712-a632ca730d07"/>
    <ds:schemaRef ds:uri="b352a690-13b6-446a-ad80-20b9a9231a5f"/>
    <ds:schemaRef ds:uri="http://schemas.microsoft.com/office/2006/metadata/properties"/>
    <ds:schemaRef ds:uri="http://www.w3.org/XML/1998/namespace"/>
    <ds:schemaRef ds:uri="3610aed6-0335-46d2-b190-87c476b048cc"/>
    <ds:schemaRef ds:uri="6dce361f-7b53-4909-8b0d-30e42626cdc9"/>
  </ds:schemaRefs>
</ds:datastoreItem>
</file>

<file path=customXml/itemProps3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bus</vt:lpstr>
      <vt:lpstr>demand</vt:lpstr>
      <vt:lpstr>ts_PD</vt:lpstr>
      <vt:lpstr>ts_VOLL</vt:lpstr>
      <vt:lpstr>branch</vt:lpstr>
      <vt:lpstr>ts_Lmax</vt:lpstr>
      <vt:lpstr>transformer</vt:lpstr>
      <vt:lpstr>ts_TLmax</vt:lpstr>
      <vt:lpstr>generator</vt:lpstr>
      <vt:lpstr>ts_PGMINGEN</vt:lpstr>
      <vt:lpstr>ts_PGLB</vt:lpstr>
      <vt:lpstr>ts_PGUB</vt:lpstr>
      <vt:lpstr>ts_bid</vt:lpstr>
      <vt:lpstr>storage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2026-03-30T16:16:48Z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